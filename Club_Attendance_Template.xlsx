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Meeting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Report" sheetId="5" state="visible" r:id="rId5"/>
    <sheet xmlns:r="http://schemas.openxmlformats.org/officeDocument/2006/relationships" name="Responses" sheetId="6" state="visible" r:id="rId6"/>
    <sheet xmlns:r="http://schemas.openxmlformats.org/officeDocument/2006/relationships" name="Registrations" sheetId="7" state="visible" r:id="rId7"/>
    <sheet xmlns:r="http://schemas.openxmlformats.org/officeDocument/2006/relationships" name="Mark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color rgb="006B7280"/>
      <sz val="10"/>
    </font>
    <font>
      <name val="Arial"/>
      <b val="1"/>
      <sz val="14"/>
    </font>
    <font>
      <name val="Arial"/>
      <b val="1"/>
      <color rgb="00FFFFFF"/>
    </font>
    <font>
      <name val="Arial"/>
      <sz val="10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164" fontId="6" fillId="0" borderId="0" pivotButton="0" quotePrefix="0" xfId="0"/>
    <xf numFmtId="49" fontId="6" fillId="0" borderId="0" pivotButton="0" quotePrefix="0" xfId="0"/>
    <xf numFmtId="165" fontId="4" fillId="2" borderId="0" applyAlignment="1" pivotButton="0" quotePrefix="0" xfId="0">
      <alignment horizontal="center" vertical="center"/>
    </xf>
    <xf numFmtId="9" fontId="6" fillId="0" borderId="0" pivotButton="0" quotePrefix="0" xfId="0"/>
  </cellXfs>
  <cellStyles count="1">
    <cellStyle name="Normal" xfId="0" builtinId="0" hidden="0"/>
  </cellStyles>
  <dxfs count="4">
    <dxf>
      <font>
        <color rgb="006B7280"/>
      </font>
      <fill>
        <patternFill patternType="solid">
          <fgColor rgb="00F1F3F5"/>
          <bgColor rgb="00F1F3F5"/>
        </patternFill>
      </fill>
    </dxf>
    <dxf>
      <font>
        <color rgb="007E4D00"/>
      </font>
      <fill>
        <patternFill patternType="solid">
          <fgColor rgb="00FFF1DD"/>
          <bgColor rgb="00FFF1DD"/>
        </patternFill>
      </fill>
    </dxf>
    <dxf>
      <font>
        <color rgb="0014532D"/>
      </font>
      <fill>
        <patternFill patternType="solid">
          <fgColor rgb="00DCF2E3"/>
          <bgColor rgb="00DCF2E3"/>
        </patternFill>
      </fill>
    </dxf>
    <dxf>
      <font>
        <color rgb="007F1D1D"/>
      </font>
      <fill>
        <patternFill patternType="solid">
          <fgColor rgb="00FBE0E0"/>
          <bgColor rgb="00FB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6" customWidth="1" min="3" max="3"/>
    <col width="12" customWidth="1" min="4" max="4"/>
    <col width="27" customWidth="1" min="5" max="5"/>
    <col width="12" customWidth="1" min="6" max="6"/>
  </cols>
  <sheetData>
    <row r="1" ht="34" customHeight="1">
      <c r="A1" s="1" t="inlineStr">
        <is>
          <t>Club Attendance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4" customHeight="1">
      <c r="A3" s="3" t="inlineStr">
        <is>
          <t>Active members</t>
        </is>
      </c>
      <c r="B3" s="4">
        <f>COUNTIF('Members'!E2:E1000,"Active")</f>
        <v/>
      </c>
      <c r="C3" s="3" t="inlineStr">
        <is>
          <t>Meetings</t>
        </is>
      </c>
      <c r="D3" s="4">
        <f>COUNT('Meetings'!A2:A1000)</f>
        <v/>
      </c>
      <c r="E3" s="3" t="inlineStr">
        <is>
          <t>Average attendance</t>
        </is>
      </c>
      <c r="F3" s="5">
        <f>IFERROR(SUM('Attendance'!AS2:AS1000)/(SUM('Attendance'!AS2:AS1000)+SUM('Attendance'!AT2:AT1000)),"")</f>
        <v/>
      </c>
    </row>
    <row r="4" ht="24" customHeight="1">
      <c r="A4" s="3" t="inlineStr">
        <is>
          <t>Total present</t>
        </is>
      </c>
      <c r="B4" s="4">
        <f>SUM('Attendance'!AS2:AS1000)</f>
        <v/>
      </c>
      <c r="C4" s="3" t="inlineStr">
        <is>
          <t>Rejected responses</t>
        </is>
      </c>
      <c r="D4" s="4">
        <f>COUNTIF('Responses'!D2:D5000,"REJECTED")</f>
        <v/>
      </c>
      <c r="E4" s="3" t="inlineStr">
        <is>
          <t>Registrations to review</t>
        </is>
      </c>
      <c r="F4" s="4">
        <f>COUNTIF('Registrations'!D2:D5000,"REVIEW")</f>
        <v/>
      </c>
    </row>
    <row r="5" ht="24" customHeight="1">
      <c r="A5" s="3" t="inlineStr">
        <is>
          <t>Unverified emails</t>
        </is>
      </c>
      <c r="B5" s="4">
        <f>COUNTIF('Members'!F2:F1000,"Unverified")</f>
        <v/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 ht="22" customHeight="1">
      <c r="A7" s="6" t="inlineStr">
        <is>
          <t>ATTENDANCE FORM</t>
        </is>
      </c>
      <c r="B7" s="6" t="n"/>
      <c r="C7" s="6" t="n"/>
      <c r="D7" s="6" t="n"/>
      <c r="E7" s="6" t="n"/>
      <c r="F7" s="6" t="n"/>
    </row>
    <row r="8">
      <c r="A8" s="3" t="inlineStr">
        <is>
          <t>Form link</t>
        </is>
      </c>
      <c r="B8" s="7" t="n"/>
      <c r="C8" s="2" t="n"/>
      <c r="D8" s="2" t="n"/>
      <c r="E8" s="2" t="n"/>
      <c r="F8" s="2" t="n"/>
    </row>
    <row r="9">
      <c r="A9" s="3" t="inlineStr">
        <is>
          <t>Edit link</t>
        </is>
      </c>
      <c r="B9" s="7" t="n"/>
      <c r="C9" s="2" t="n"/>
      <c r="D9" s="2" t="n"/>
      <c r="E9" s="2" t="n"/>
      <c r="F9" s="2" t="n"/>
    </row>
    <row r="10">
      <c r="A10" s="3" t="inlineStr">
        <is>
          <t>QR image URL</t>
        </is>
      </c>
      <c r="B10" s="7" t="n"/>
      <c r="C10" s="2" t="n"/>
      <c r="D10" s="2" t="n"/>
      <c r="E10" s="2" t="n"/>
      <c r="F10" s="2" t="n"/>
    </row>
    <row r="11" ht="152" customHeight="1">
      <c r="A11" s="3" t="inlineStr">
        <is>
          <t>QR code</t>
        </is>
      </c>
      <c r="B11" s="7" t="n"/>
      <c r="C11" s="2" t="n"/>
      <c r="D11" s="2" t="n"/>
      <c r="E11" s="2" t="n"/>
      <c r="F11" s="2" t="n"/>
    </row>
    <row r="12">
      <c r="A12" s="3" t="inlineStr">
        <is>
          <t>Status</t>
        </is>
      </c>
      <c r="B12" s="7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 ht="22" customHeight="1">
      <c r="A14" s="6" t="inlineStr">
        <is>
          <t>REGISTRATION FORM</t>
        </is>
      </c>
      <c r="B14" s="6" t="n"/>
      <c r="C14" s="6" t="n"/>
      <c r="D14" s="6" t="n"/>
      <c r="E14" s="6" t="n"/>
      <c r="F14" s="6" t="n"/>
    </row>
    <row r="15">
      <c r="A15" s="3" t="inlineStr">
        <is>
          <t>Form link</t>
        </is>
      </c>
      <c r="B15" s="7" t="n"/>
      <c r="C15" s="2" t="n"/>
      <c r="D15" s="2" t="n"/>
      <c r="E15" s="2" t="n"/>
      <c r="F15" s="2" t="n"/>
    </row>
    <row r="16">
      <c r="A16" s="3" t="inlineStr">
        <is>
          <t>Edit link</t>
        </is>
      </c>
      <c r="B16" s="7" t="n"/>
      <c r="C16" s="2" t="n"/>
      <c r="D16" s="2" t="n"/>
      <c r="E16" s="2" t="n"/>
      <c r="F16" s="2" t="n"/>
    </row>
    <row r="17">
      <c r="A17" s="3" t="inlineStr">
        <is>
          <t>QR image URL</t>
        </is>
      </c>
      <c r="B17" s="7" t="n"/>
      <c r="C17" s="2" t="n"/>
      <c r="D17" s="2" t="n"/>
      <c r="E17" s="2" t="n"/>
      <c r="F17" s="2" t="n"/>
    </row>
    <row r="18" ht="152" customHeight="1">
      <c r="A18" s="3" t="inlineStr">
        <is>
          <t>QR code</t>
        </is>
      </c>
      <c r="B18" s="7" t="n"/>
      <c r="C18" s="2" t="n"/>
      <c r="D18" s="2" t="n"/>
      <c r="E18" s="2" t="n"/>
      <c r="F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34" customWidth="1" min="4" max="4"/>
    <col width="11" customWidth="1" min="5" max="5"/>
    <col width="15" customWidth="1" min="6" max="6"/>
    <col width="16" customWidth="1" min="7" max="7"/>
    <col width="34" customWidth="1" min="8" max="8"/>
  </cols>
  <sheetData>
    <row r="1" ht="22" customHeight="1">
      <c r="A1" s="6" t="inlineStr">
        <is>
          <t>ID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Email</t>
        </is>
      </c>
      <c r="E1" s="6" t="inlineStr">
        <is>
          <t>Status</t>
        </is>
      </c>
      <c r="F1" s="6" t="inlineStr">
        <is>
          <t>Email Status</t>
        </is>
      </c>
      <c r="G1" s="6" t="inlineStr">
        <is>
          <t>Graduation Year</t>
        </is>
      </c>
      <c r="H1" s="6" t="inlineStr">
        <is>
          <t>Note</t>
        </is>
      </c>
    </row>
  </sheetData>
  <conditionalFormatting sqref="E2:E1000">
    <cfRule type="expression" priority="1" dxfId="0">
      <formula>E2="Left"</formula>
    </cfRule>
  </conditionalFormatting>
  <conditionalFormatting sqref="F2:F1000">
    <cfRule type="expression" priority="2" dxfId="1">
      <formula>F2="Unverified"</formula>
    </cfRule>
    <cfRule type="expression" priority="3" dxfId="2">
      <formula>F2="Verified"</formula>
    </cfRule>
  </conditionalFormatting>
  <dataValidations count="2">
    <dataValidation sqref="E2:E1000" showDropDown="0" showInputMessage="0" showErrorMessage="0" allowBlank="1" type="list">
      <formula1>"Active,Left"</formula1>
    </dataValidation>
    <dataValidation sqref="F2:F1000" showDropDown="0" showInputMessage="0" showErrorMessage="0" allowBlank="1" type="list">
      <formula1>"Unverified,Verified"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36" customWidth="1" min="5" max="5"/>
  </cols>
  <sheetData>
    <row r="1" ht="22" customHeight="1">
      <c r="A1" s="6" t="inlineStr">
        <is>
          <t>Date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Code</t>
        </is>
      </c>
      <c r="E1" s="6" t="inlineStr">
        <is>
          <t>Note</t>
        </is>
      </c>
    </row>
    <row r="2">
      <c r="A2" s="8" t="n"/>
      <c r="B2" s="9" t="n"/>
      <c r="C2" s="9" t="n"/>
      <c r="D2" s="9" t="n"/>
      <c r="E2" s="2" t="n"/>
    </row>
    <row r="3">
      <c r="A3" s="8" t="n"/>
      <c r="B3" s="9" t="n"/>
      <c r="C3" s="9" t="n"/>
      <c r="D3" s="9" t="n"/>
      <c r="E3" s="2" t="n"/>
    </row>
    <row r="4">
      <c r="A4" s="8" t="n"/>
      <c r="B4" s="9" t="n"/>
      <c r="C4" s="9" t="n"/>
      <c r="D4" s="9" t="n"/>
      <c r="E4" s="2" t="n"/>
    </row>
    <row r="5">
      <c r="A5" s="8" t="n"/>
      <c r="B5" s="9" t="n"/>
      <c r="C5" s="9" t="n"/>
      <c r="D5" s="9" t="n"/>
      <c r="E5" s="2" t="n"/>
    </row>
    <row r="6">
      <c r="A6" s="8" t="n"/>
      <c r="B6" s="9" t="n"/>
      <c r="C6" s="9" t="n"/>
      <c r="D6" s="9" t="n"/>
      <c r="E6" s="2" t="n"/>
    </row>
    <row r="7">
      <c r="A7" s="8" t="n"/>
      <c r="B7" s="9" t="n"/>
      <c r="C7" s="9" t="n"/>
      <c r="D7" s="9" t="n"/>
      <c r="E7" s="2" t="n"/>
    </row>
    <row r="8">
      <c r="A8" s="8" t="n"/>
      <c r="B8" s="9" t="n"/>
      <c r="C8" s="9" t="n"/>
      <c r="D8" s="9" t="n"/>
      <c r="E8" s="2" t="n"/>
    </row>
    <row r="9">
      <c r="A9" s="8" t="n"/>
      <c r="B9" s="9" t="n"/>
      <c r="C9" s="9" t="n"/>
      <c r="D9" s="9" t="n"/>
      <c r="E9" s="2" t="n"/>
    </row>
    <row r="10">
      <c r="A10" s="8" t="n"/>
      <c r="B10" s="9" t="n"/>
      <c r="C10" s="9" t="n"/>
      <c r="D10" s="9" t="n"/>
      <c r="E10" s="2" t="n"/>
    </row>
    <row r="11">
      <c r="A11" s="8" t="n"/>
      <c r="B11" s="9" t="n"/>
      <c r="C11" s="9" t="n"/>
      <c r="D11" s="9" t="n"/>
      <c r="E11" s="2" t="n"/>
    </row>
    <row r="12">
      <c r="A12" s="8" t="n"/>
      <c r="B12" s="9" t="n"/>
      <c r="C12" s="9" t="n"/>
      <c r="D12" s="9" t="n"/>
      <c r="E12" s="2" t="n"/>
    </row>
    <row r="13">
      <c r="A13" s="8" t="n"/>
      <c r="B13" s="9" t="n"/>
      <c r="C13" s="9" t="n"/>
      <c r="D13" s="9" t="n"/>
      <c r="E13" s="2" t="n"/>
    </row>
    <row r="14">
      <c r="A14" s="8" t="n"/>
      <c r="B14" s="9" t="n"/>
      <c r="C14" s="9" t="n"/>
      <c r="D14" s="9" t="n"/>
      <c r="E14" s="2" t="n"/>
    </row>
    <row r="15">
      <c r="A15" s="8" t="n"/>
      <c r="B15" s="9" t="n"/>
      <c r="C15" s="9" t="n"/>
      <c r="D15" s="9" t="n"/>
      <c r="E15" s="2" t="n"/>
    </row>
    <row r="16">
      <c r="A16" s="8" t="n"/>
      <c r="B16" s="9" t="n"/>
      <c r="C16" s="9" t="n"/>
      <c r="D16" s="9" t="n"/>
      <c r="E16" s="2" t="n"/>
    </row>
    <row r="17">
      <c r="A17" s="8" t="n"/>
      <c r="B17" s="9" t="n"/>
      <c r="C17" s="9" t="n"/>
      <c r="D17" s="9" t="n"/>
      <c r="E17" s="2" t="n"/>
    </row>
    <row r="18">
      <c r="A18" s="8" t="n"/>
      <c r="B18" s="9" t="n"/>
      <c r="C18" s="9" t="n"/>
      <c r="D18" s="9" t="n"/>
      <c r="E18" s="2" t="n"/>
    </row>
    <row r="19">
      <c r="A19" s="8" t="n"/>
      <c r="B19" s="9" t="n"/>
      <c r="C19" s="9" t="n"/>
      <c r="D19" s="9" t="n"/>
      <c r="E19" s="2" t="n"/>
    </row>
    <row r="20">
      <c r="A20" s="8" t="n"/>
      <c r="B20" s="9" t="n"/>
      <c r="C20" s="9" t="n"/>
      <c r="D20" s="9" t="n"/>
      <c r="E20" s="2" t="n"/>
    </row>
    <row r="21">
      <c r="A21" s="8" t="n"/>
      <c r="B21" s="9" t="n"/>
      <c r="C21" s="9" t="n"/>
      <c r="D21" s="9" t="n"/>
      <c r="E21" s="2" t="n"/>
    </row>
    <row r="22">
      <c r="A22" s="8" t="n"/>
      <c r="B22" s="9" t="n"/>
      <c r="C22" s="9" t="n"/>
      <c r="D22" s="9" t="n"/>
      <c r="E22" s="2" t="n"/>
    </row>
    <row r="23">
      <c r="A23" s="8" t="n"/>
      <c r="B23" s="9" t="n"/>
      <c r="C23" s="9" t="n"/>
      <c r="D23" s="9" t="n"/>
      <c r="E23" s="2" t="n"/>
    </row>
    <row r="24">
      <c r="A24" s="8" t="n"/>
      <c r="B24" s="9" t="n"/>
      <c r="C24" s="9" t="n"/>
      <c r="D24" s="9" t="n"/>
      <c r="E24" s="2" t="n"/>
    </row>
    <row r="25">
      <c r="A25" s="8" t="n"/>
      <c r="B25" s="9" t="n"/>
      <c r="C25" s="9" t="n"/>
      <c r="D25" s="9" t="n"/>
      <c r="E25" s="2" t="n"/>
    </row>
    <row r="26">
      <c r="A26" s="8" t="n"/>
      <c r="B26" s="9" t="n"/>
      <c r="C26" s="9" t="n"/>
      <c r="D26" s="9" t="n"/>
      <c r="E26" s="2" t="n"/>
    </row>
    <row r="27">
      <c r="A27" s="8" t="n"/>
      <c r="B27" s="9" t="n"/>
      <c r="C27" s="9" t="n"/>
      <c r="D27" s="9" t="n"/>
      <c r="E27" s="2" t="n"/>
    </row>
    <row r="28">
      <c r="A28" s="8" t="n"/>
      <c r="B28" s="9" t="n"/>
      <c r="C28" s="9" t="n"/>
      <c r="D28" s="9" t="n"/>
      <c r="E28" s="2" t="n"/>
    </row>
    <row r="29">
      <c r="A29" s="8" t="n"/>
      <c r="B29" s="9" t="n"/>
      <c r="C29" s="9" t="n"/>
      <c r="D29" s="9" t="n"/>
      <c r="E29" s="2" t="n"/>
    </row>
    <row r="30">
      <c r="A30" s="8" t="n"/>
      <c r="B30" s="9" t="n"/>
      <c r="C30" s="9" t="n"/>
      <c r="D30" s="9" t="n"/>
      <c r="E30" s="2" t="n"/>
    </row>
    <row r="31">
      <c r="A31" s="8" t="n"/>
      <c r="B31" s="9" t="n"/>
      <c r="C31" s="9" t="n"/>
      <c r="D31" s="9" t="n"/>
      <c r="E31" s="2" t="n"/>
    </row>
    <row r="32">
      <c r="A32" s="8" t="n"/>
      <c r="B32" s="9" t="n"/>
      <c r="C32" s="9" t="n"/>
      <c r="D32" s="9" t="n"/>
      <c r="E32" s="2" t="n"/>
    </row>
    <row r="33">
      <c r="A33" s="8" t="n"/>
      <c r="B33" s="9" t="n"/>
      <c r="C33" s="9" t="n"/>
      <c r="D33" s="9" t="n"/>
      <c r="E33" s="2" t="n"/>
    </row>
    <row r="34">
      <c r="A34" s="8" t="n"/>
      <c r="B34" s="9" t="n"/>
      <c r="C34" s="9" t="n"/>
      <c r="D34" s="9" t="n"/>
      <c r="E34" s="2" t="n"/>
    </row>
    <row r="35">
      <c r="A35" s="8" t="n"/>
      <c r="B35" s="9" t="n"/>
      <c r="C35" s="9" t="n"/>
      <c r="D35" s="9" t="n"/>
      <c r="E35" s="2" t="n"/>
    </row>
    <row r="36">
      <c r="A36" s="8" t="n"/>
      <c r="B36" s="9" t="n"/>
      <c r="C36" s="9" t="n"/>
      <c r="D36" s="9" t="n"/>
      <c r="E36" s="2" t="n"/>
    </row>
    <row r="37">
      <c r="A37" s="8" t="n"/>
      <c r="B37" s="9" t="n"/>
      <c r="C37" s="9" t="n"/>
      <c r="D37" s="9" t="n"/>
      <c r="E37" s="2" t="n"/>
    </row>
    <row r="38">
      <c r="A38" s="8" t="n"/>
      <c r="B38" s="9" t="n"/>
      <c r="C38" s="9" t="n"/>
      <c r="D38" s="9" t="n"/>
      <c r="E38" s="2" t="n"/>
    </row>
    <row r="39">
      <c r="A39" s="8" t="n"/>
      <c r="B39" s="9" t="n"/>
      <c r="C39" s="9" t="n"/>
      <c r="D39" s="9" t="n"/>
      <c r="E39" s="2" t="n"/>
    </row>
    <row r="40">
      <c r="A40" s="8" t="n"/>
      <c r="B40" s="9" t="n"/>
      <c r="C40" s="9" t="n"/>
      <c r="D40" s="9" t="n"/>
      <c r="E40" s="2" t="n"/>
    </row>
    <row r="41">
      <c r="A41" s="8" t="n"/>
      <c r="B41" s="9" t="n"/>
      <c r="C41" s="9" t="n"/>
      <c r="D41" s="9" t="n"/>
      <c r="E41" s="2" t="n"/>
    </row>
  </sheetData>
  <dataValidations count="1">
    <dataValidation sqref="A2:A41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</cols>
  <sheetData>
    <row r="1" ht="22" customHeight="1">
      <c r="A1" s="6" t="inlineStr">
        <is>
          <t>ID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Status</t>
        </is>
      </c>
      <c r="E1" s="10">
        <f>IF(INDEX('Meetings'!$A:$A,COLUMN()-3)="","",INDEX('Meetings'!$A:$A,COLUMN()-3))</f>
        <v/>
      </c>
      <c r="F1" s="10">
        <f>IF(INDEX('Meetings'!$A:$A,COLUMN()-3)="","",INDEX('Meetings'!$A:$A,COLUMN()-3))</f>
        <v/>
      </c>
      <c r="G1" s="10">
        <f>IF(INDEX('Meetings'!$A:$A,COLUMN()-3)="","",INDEX('Meetings'!$A:$A,COLUMN()-3))</f>
        <v/>
      </c>
      <c r="H1" s="10">
        <f>IF(INDEX('Meetings'!$A:$A,COLUMN()-3)="","",INDEX('Meetings'!$A:$A,COLUMN()-3))</f>
        <v/>
      </c>
      <c r="I1" s="10">
        <f>IF(INDEX('Meetings'!$A:$A,COLUMN()-3)="","",INDEX('Meetings'!$A:$A,COLUMN()-3))</f>
        <v/>
      </c>
      <c r="J1" s="10">
        <f>IF(INDEX('Meetings'!$A:$A,COLUMN()-3)="","",INDEX('Meetings'!$A:$A,COLUMN()-3))</f>
        <v/>
      </c>
      <c r="K1" s="10">
        <f>IF(INDEX('Meetings'!$A:$A,COLUMN()-3)="","",INDEX('Meetings'!$A:$A,COLUMN()-3))</f>
        <v/>
      </c>
      <c r="L1" s="10">
        <f>IF(INDEX('Meetings'!$A:$A,COLUMN()-3)="","",INDEX('Meetings'!$A:$A,COLUMN()-3))</f>
        <v/>
      </c>
      <c r="M1" s="10">
        <f>IF(INDEX('Meetings'!$A:$A,COLUMN()-3)="","",INDEX('Meetings'!$A:$A,COLUMN()-3))</f>
        <v/>
      </c>
      <c r="N1" s="10">
        <f>IF(INDEX('Meetings'!$A:$A,COLUMN()-3)="","",INDEX('Meetings'!$A:$A,COLUMN()-3))</f>
        <v/>
      </c>
      <c r="O1" s="10">
        <f>IF(INDEX('Meetings'!$A:$A,COLUMN()-3)="","",INDEX('Meetings'!$A:$A,COLUMN()-3))</f>
        <v/>
      </c>
      <c r="P1" s="10">
        <f>IF(INDEX('Meetings'!$A:$A,COLUMN()-3)="","",INDEX('Meetings'!$A:$A,COLUMN()-3))</f>
        <v/>
      </c>
      <c r="Q1" s="10">
        <f>IF(INDEX('Meetings'!$A:$A,COLUMN()-3)="","",INDEX('Meetings'!$A:$A,COLUMN()-3))</f>
        <v/>
      </c>
      <c r="R1" s="10">
        <f>IF(INDEX('Meetings'!$A:$A,COLUMN()-3)="","",INDEX('Meetings'!$A:$A,COLUMN()-3))</f>
        <v/>
      </c>
      <c r="S1" s="10">
        <f>IF(INDEX('Meetings'!$A:$A,COLUMN()-3)="","",INDEX('Meetings'!$A:$A,COLUMN()-3))</f>
        <v/>
      </c>
      <c r="T1" s="10">
        <f>IF(INDEX('Meetings'!$A:$A,COLUMN()-3)="","",INDEX('Meetings'!$A:$A,COLUMN()-3))</f>
        <v/>
      </c>
      <c r="U1" s="10">
        <f>IF(INDEX('Meetings'!$A:$A,COLUMN()-3)="","",INDEX('Meetings'!$A:$A,COLUMN()-3))</f>
        <v/>
      </c>
      <c r="V1" s="10">
        <f>IF(INDEX('Meetings'!$A:$A,COLUMN()-3)="","",INDEX('Meetings'!$A:$A,COLUMN()-3))</f>
        <v/>
      </c>
      <c r="W1" s="10">
        <f>IF(INDEX('Meetings'!$A:$A,COLUMN()-3)="","",INDEX('Meetings'!$A:$A,COLUMN()-3))</f>
        <v/>
      </c>
      <c r="X1" s="10">
        <f>IF(INDEX('Meetings'!$A:$A,COLUMN()-3)="","",INDEX('Meetings'!$A:$A,COLUMN()-3))</f>
        <v/>
      </c>
      <c r="Y1" s="10">
        <f>IF(INDEX('Meetings'!$A:$A,COLUMN()-3)="","",INDEX('Meetings'!$A:$A,COLUMN()-3))</f>
        <v/>
      </c>
      <c r="Z1" s="10">
        <f>IF(INDEX('Meetings'!$A:$A,COLUMN()-3)="","",INDEX('Meetings'!$A:$A,COLUMN()-3))</f>
        <v/>
      </c>
      <c r="AA1" s="10">
        <f>IF(INDEX('Meetings'!$A:$A,COLUMN()-3)="","",INDEX('Meetings'!$A:$A,COLUMN()-3))</f>
        <v/>
      </c>
      <c r="AB1" s="10">
        <f>IF(INDEX('Meetings'!$A:$A,COLUMN()-3)="","",INDEX('Meetings'!$A:$A,COLUMN()-3))</f>
        <v/>
      </c>
      <c r="AC1" s="10">
        <f>IF(INDEX('Meetings'!$A:$A,COLUMN()-3)="","",INDEX('Meetings'!$A:$A,COLUMN()-3))</f>
        <v/>
      </c>
      <c r="AD1" s="10">
        <f>IF(INDEX('Meetings'!$A:$A,COLUMN()-3)="","",INDEX('Meetings'!$A:$A,COLUMN()-3))</f>
        <v/>
      </c>
      <c r="AE1" s="10">
        <f>IF(INDEX('Meetings'!$A:$A,COLUMN()-3)="","",INDEX('Meetings'!$A:$A,COLUMN()-3))</f>
        <v/>
      </c>
      <c r="AF1" s="10">
        <f>IF(INDEX('Meetings'!$A:$A,COLUMN()-3)="","",INDEX('Meetings'!$A:$A,COLUMN()-3))</f>
        <v/>
      </c>
      <c r="AG1" s="10">
        <f>IF(INDEX('Meetings'!$A:$A,COLUMN()-3)="","",INDEX('Meetings'!$A:$A,COLUMN()-3))</f>
        <v/>
      </c>
      <c r="AH1" s="10">
        <f>IF(INDEX('Meetings'!$A:$A,COLUMN()-3)="","",INDEX('Meetings'!$A:$A,COLUMN()-3))</f>
        <v/>
      </c>
      <c r="AI1" s="10">
        <f>IF(INDEX('Meetings'!$A:$A,COLUMN()-3)="","",INDEX('Meetings'!$A:$A,COLUMN()-3))</f>
        <v/>
      </c>
      <c r="AJ1" s="10">
        <f>IF(INDEX('Meetings'!$A:$A,COLUMN()-3)="","",INDEX('Meetings'!$A:$A,COLUMN()-3))</f>
        <v/>
      </c>
      <c r="AK1" s="10">
        <f>IF(INDEX('Meetings'!$A:$A,COLUMN()-3)="","",INDEX('Meetings'!$A:$A,COLUMN()-3))</f>
        <v/>
      </c>
      <c r="AL1" s="10">
        <f>IF(INDEX('Meetings'!$A:$A,COLUMN()-3)="","",INDEX('Meetings'!$A:$A,COLUMN()-3))</f>
        <v/>
      </c>
      <c r="AM1" s="10">
        <f>IF(INDEX('Meetings'!$A:$A,COLUMN()-3)="","",INDEX('Meetings'!$A:$A,COLUMN()-3))</f>
        <v/>
      </c>
      <c r="AN1" s="10">
        <f>IF(INDEX('Meetings'!$A:$A,COLUMN()-3)="","",INDEX('Meetings'!$A:$A,COLUMN()-3))</f>
        <v/>
      </c>
      <c r="AO1" s="10">
        <f>IF(INDEX('Meetings'!$A:$A,COLUMN()-3)="","",INDEX('Meetings'!$A:$A,COLUMN()-3))</f>
        <v/>
      </c>
      <c r="AP1" s="10">
        <f>IF(INDEX('Meetings'!$A:$A,COLUMN()-3)="","",INDEX('Meetings'!$A:$A,COLUMN()-3))</f>
        <v/>
      </c>
      <c r="AQ1" s="10">
        <f>IF(INDEX('Meetings'!$A:$A,COLUMN()-3)="","",INDEX('Meetings'!$A:$A,COLUMN()-3))</f>
        <v/>
      </c>
      <c r="AR1" s="10">
        <f>IF(INDEX('Meetings'!$A:$A,COLUMN()-3)="","",INDEX('Meetings'!$A:$A,COLUMN()-3))</f>
        <v/>
      </c>
      <c r="AS1" s="6" t="inlineStr">
        <is>
          <t>Present</t>
        </is>
      </c>
      <c r="AT1" s="6" t="inlineStr">
        <is>
          <t>Absent</t>
        </is>
      </c>
      <c r="AU1" s="6" t="inlineStr">
        <is>
          <t>Rate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11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11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11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11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11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11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11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11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11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11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11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11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11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11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11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11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11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11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11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11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11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11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11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11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11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11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11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11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11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11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11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11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11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11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11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11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11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11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11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11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11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11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11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11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11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11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11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11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11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11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11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11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11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11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11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11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11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11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11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11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11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11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11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11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11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11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11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11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11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11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11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11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11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11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11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11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11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11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11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11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11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11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11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11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11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11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11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11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11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11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11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11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11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11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11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11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11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11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11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11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11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11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11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11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11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11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11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11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11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11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11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11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11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11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11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11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11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11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11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11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11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11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11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11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11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11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11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11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11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11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11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11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11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11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11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11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11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11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11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11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11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11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11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11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11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11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11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11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11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11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11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11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11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11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11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11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11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11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11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11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11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11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11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11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11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11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11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11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11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11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11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11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11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11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11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11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11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11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11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11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11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11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11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11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11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11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11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11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11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11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11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11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11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11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11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11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11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11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11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11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11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11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11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11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11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11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11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11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11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11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11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11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11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11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11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11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11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11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11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11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11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11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11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11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11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11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11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11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11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11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11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11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11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11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11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11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11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11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11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11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11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11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11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11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11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11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11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11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11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11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11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11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11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11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11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11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11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11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11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11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11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11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11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11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11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11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11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11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11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11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11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11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11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11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11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11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11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11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11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11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11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11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11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11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11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11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11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11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11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11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11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11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11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11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11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11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11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11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11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11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11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11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11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11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11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11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11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11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11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11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11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11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11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11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11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11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11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11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11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11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11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11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11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11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11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11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11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11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11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11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11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11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11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11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11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11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11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11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11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11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11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11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11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11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11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11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11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11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11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11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11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11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11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11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11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11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11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11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11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11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11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11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11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11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11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11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11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11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11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11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11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11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11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11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11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11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11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11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11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11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11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11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11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11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11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11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11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11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11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11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11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11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11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11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11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11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11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11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11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11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11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11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11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11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11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11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11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11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11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11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11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11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11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11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11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11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11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11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11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11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11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11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11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11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11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11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11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11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11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11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11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11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11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11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11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11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11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11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11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11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11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11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11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11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11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11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11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11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11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11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11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11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11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11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11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11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11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11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11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11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11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11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11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11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11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11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11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11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11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11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11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11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11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11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11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11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11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11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11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11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11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11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11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11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11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11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11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11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11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11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11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11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11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11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11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11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11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11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11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11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11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11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11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11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11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11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11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11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11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11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11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11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11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11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11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11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11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11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11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11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11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11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11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11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11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11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11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11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11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11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11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11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11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11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11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11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11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11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11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11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11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11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11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11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11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11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11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11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11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11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11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11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11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11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11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11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11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11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11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11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11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11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11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11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11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11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11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11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11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11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11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11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11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11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11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11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11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11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11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11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11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11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11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11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11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11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11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11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11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11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11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11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11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11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11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11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11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11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11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11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11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11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11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11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11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11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11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11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11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11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11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11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11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11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11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11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11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11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11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11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11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11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11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11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11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11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11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11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11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11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11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11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11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11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11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11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11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11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11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11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11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11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11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11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11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11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11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11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11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11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11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11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11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11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11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11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11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11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11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11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11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11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11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11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11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11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11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11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11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11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11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11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11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11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11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11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11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11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11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11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11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11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11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11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11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11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11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11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11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11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11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11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11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11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11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11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11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11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11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11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11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11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11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11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11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11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11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11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11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11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11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11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11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11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11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11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11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11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11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11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11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11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11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11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11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11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11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11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11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11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11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11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11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11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11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11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11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11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11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11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11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11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11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11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11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11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11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11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11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11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11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11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11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11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11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11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11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11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11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11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11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11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11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11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11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11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11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11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11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11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11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11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11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11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11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11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11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11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11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11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11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11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11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11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11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11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11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11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11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11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11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11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11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11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11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11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11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11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11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11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11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11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11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11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11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11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11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11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11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11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11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11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11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11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11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11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11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11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11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11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11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11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11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11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11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11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11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11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11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11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11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11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11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11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11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11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11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11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11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11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11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11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11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11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11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11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11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11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11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11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11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11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11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11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11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11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11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11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11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11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11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11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11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11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11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11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11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11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11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11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11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11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11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11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11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11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11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11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11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11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11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11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11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11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11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11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11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11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11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11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11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11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11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11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11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11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11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11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11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11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11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11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11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11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11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11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11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11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11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11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11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11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11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11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11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11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11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11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11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11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11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11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11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11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11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11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11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11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11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11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11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11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11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11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11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11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11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11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11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11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11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11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11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11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11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11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11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11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11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11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11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11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11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11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11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11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11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11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11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11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11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11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11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11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11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11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11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11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11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11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11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11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11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11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11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11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11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11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11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11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11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11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11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11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11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11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11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11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11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11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11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11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11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11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11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11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11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11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11" t="n"/>
    </row>
  </sheetData>
  <conditionalFormatting sqref="E2:AR1000">
    <cfRule type="expression" priority="1" dxfId="2">
      <formula>E2="PRESENT"</formula>
    </cfRule>
    <cfRule type="expression" priority="2" dxfId="3">
      <formula>E2="ABSENT"</formula>
    </cfRule>
  </conditionalFormatting>
  <dataValidations count="1">
    <dataValidation sqref="E2:AR1000" showDropDown="0" showInputMessage="0" showErrorMessage="0" allowBlank="1" type="list">
      <formula1>"PRESENT,ABSENT"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1" customWidth="1" min="5" max="5"/>
    <col width="36" customWidth="1" min="6" max="6"/>
  </cols>
  <sheetData>
    <row r="1" ht="22" customHeight="1">
      <c r="A1" s="6" t="inlineStr">
        <is>
          <t>Date</t>
        </is>
      </c>
      <c r="B1" s="6" t="inlineStr">
        <is>
          <t>Start</t>
        </is>
      </c>
      <c r="C1" s="6" t="inlineStr">
        <is>
          <t>Present</t>
        </is>
      </c>
      <c r="D1" s="6" t="inlineStr">
        <is>
          <t>Absent</t>
        </is>
      </c>
      <c r="E1" s="6" t="inlineStr">
        <is>
          <t>Rate</t>
        </is>
      </c>
      <c r="F1" s="6" t="inlineStr">
        <is>
          <t>Note</t>
        </is>
      </c>
    </row>
    <row r="2">
      <c r="A2" s="8">
        <f>IF(INDEX('Meetings'!$A:$A,ROW())="","",INDEX('Meetings'!$A:$A,ROW()))</f>
        <v/>
      </c>
      <c r="B2" s="2">
        <f>IF(INDEX('Meetings'!$A:$A,ROW())="","",INDEX('Meetings'!$B:$B,ROW()))</f>
        <v/>
      </c>
      <c r="C2" s="2">
        <f>IF($A2="","",COUNTIF(INDEX('Attendance'!$E$2:$AR$1000,0,ROW()-1),"PRESENT"))</f>
        <v/>
      </c>
      <c r="D2" s="2">
        <f>IF($A2="","",COUNTIF(INDEX('Attendance'!$E$2:$AR$1000,0,ROW()-1),"ABSENT"))</f>
        <v/>
      </c>
      <c r="E2" s="11">
        <f>IF($A2="","",IFERROR(C2/(C2+D2),""))</f>
        <v/>
      </c>
      <c r="F2" s="2">
        <f>IF(INDEX('Meetings'!$E:$E,ROW())="","",INDEX('Meetings'!$E:$E,ROW()))</f>
        <v/>
      </c>
    </row>
    <row r="3">
      <c r="A3" s="8">
        <f>IF(INDEX('Meetings'!$A:$A,ROW())="","",INDEX('Meetings'!$A:$A,ROW()))</f>
        <v/>
      </c>
      <c r="B3" s="2">
        <f>IF(INDEX('Meetings'!$A:$A,ROW())="","",INDEX('Meetings'!$B:$B,ROW()))</f>
        <v/>
      </c>
      <c r="C3" s="2">
        <f>IF($A3="","",COUNTIF(INDEX('Attendance'!$E$2:$AR$1000,0,ROW()-1),"PRESENT"))</f>
        <v/>
      </c>
      <c r="D3" s="2">
        <f>IF($A3="","",COUNTIF(INDEX('Attendance'!$E$2:$AR$1000,0,ROW()-1),"ABSENT"))</f>
        <v/>
      </c>
      <c r="E3" s="11">
        <f>IF($A3="","",IFERROR(C3/(C3+D3),""))</f>
        <v/>
      </c>
      <c r="F3" s="2">
        <f>IF(INDEX('Meetings'!$E:$E,ROW())="","",INDEX('Meetings'!$E:$E,ROW()))</f>
        <v/>
      </c>
    </row>
    <row r="4">
      <c r="A4" s="8">
        <f>IF(INDEX('Meetings'!$A:$A,ROW())="","",INDEX('Meetings'!$A:$A,ROW()))</f>
        <v/>
      </c>
      <c r="B4" s="2">
        <f>IF(INDEX('Meetings'!$A:$A,ROW())="","",INDEX('Meetings'!$B:$B,ROW()))</f>
        <v/>
      </c>
      <c r="C4" s="2">
        <f>IF($A4="","",COUNTIF(INDEX('Attendance'!$E$2:$AR$1000,0,ROW()-1),"PRESENT"))</f>
        <v/>
      </c>
      <c r="D4" s="2">
        <f>IF($A4="","",COUNTIF(INDEX('Attendance'!$E$2:$AR$1000,0,ROW()-1),"ABSENT"))</f>
        <v/>
      </c>
      <c r="E4" s="11">
        <f>IF($A4="","",IFERROR(C4/(C4+D4),""))</f>
        <v/>
      </c>
      <c r="F4" s="2">
        <f>IF(INDEX('Meetings'!$E:$E,ROW())="","",INDEX('Meetings'!$E:$E,ROW()))</f>
        <v/>
      </c>
    </row>
    <row r="5">
      <c r="A5" s="8">
        <f>IF(INDEX('Meetings'!$A:$A,ROW())="","",INDEX('Meetings'!$A:$A,ROW()))</f>
        <v/>
      </c>
      <c r="B5" s="2">
        <f>IF(INDEX('Meetings'!$A:$A,ROW())="","",INDEX('Meetings'!$B:$B,ROW()))</f>
        <v/>
      </c>
      <c r="C5" s="2">
        <f>IF($A5="","",COUNTIF(INDEX('Attendance'!$E$2:$AR$1000,0,ROW()-1),"PRESENT"))</f>
        <v/>
      </c>
      <c r="D5" s="2">
        <f>IF($A5="","",COUNTIF(INDEX('Attendance'!$E$2:$AR$1000,0,ROW()-1),"ABSENT"))</f>
        <v/>
      </c>
      <c r="E5" s="11">
        <f>IF($A5="","",IFERROR(C5/(C5+D5),""))</f>
        <v/>
      </c>
      <c r="F5" s="2">
        <f>IF(INDEX('Meetings'!$E:$E,ROW())="","",INDEX('Meetings'!$E:$E,ROW()))</f>
        <v/>
      </c>
    </row>
    <row r="6">
      <c r="A6" s="8">
        <f>IF(INDEX('Meetings'!$A:$A,ROW())="","",INDEX('Meetings'!$A:$A,ROW()))</f>
        <v/>
      </c>
      <c r="B6" s="2">
        <f>IF(INDEX('Meetings'!$A:$A,ROW())="","",INDEX('Meetings'!$B:$B,ROW()))</f>
        <v/>
      </c>
      <c r="C6" s="2">
        <f>IF($A6="","",COUNTIF(INDEX('Attendance'!$E$2:$AR$1000,0,ROW()-1),"PRESENT"))</f>
        <v/>
      </c>
      <c r="D6" s="2">
        <f>IF($A6="","",COUNTIF(INDEX('Attendance'!$E$2:$AR$1000,0,ROW()-1),"ABSENT"))</f>
        <v/>
      </c>
      <c r="E6" s="11">
        <f>IF($A6="","",IFERROR(C6/(C6+D6),""))</f>
        <v/>
      </c>
      <c r="F6" s="2">
        <f>IF(INDEX('Meetings'!$E:$E,ROW())="","",INDEX('Meetings'!$E:$E,ROW()))</f>
        <v/>
      </c>
    </row>
    <row r="7">
      <c r="A7" s="8">
        <f>IF(INDEX('Meetings'!$A:$A,ROW())="","",INDEX('Meetings'!$A:$A,ROW()))</f>
        <v/>
      </c>
      <c r="B7" s="2">
        <f>IF(INDEX('Meetings'!$A:$A,ROW())="","",INDEX('Meetings'!$B:$B,ROW()))</f>
        <v/>
      </c>
      <c r="C7" s="2">
        <f>IF($A7="","",COUNTIF(INDEX('Attendance'!$E$2:$AR$1000,0,ROW()-1),"PRESENT"))</f>
        <v/>
      </c>
      <c r="D7" s="2">
        <f>IF($A7="","",COUNTIF(INDEX('Attendance'!$E$2:$AR$1000,0,ROW()-1),"ABSENT"))</f>
        <v/>
      </c>
      <c r="E7" s="11">
        <f>IF($A7="","",IFERROR(C7/(C7+D7),""))</f>
        <v/>
      </c>
      <c r="F7" s="2">
        <f>IF(INDEX('Meetings'!$E:$E,ROW())="","",INDEX('Meetings'!$E:$E,ROW()))</f>
        <v/>
      </c>
    </row>
    <row r="8">
      <c r="A8" s="8">
        <f>IF(INDEX('Meetings'!$A:$A,ROW())="","",INDEX('Meetings'!$A:$A,ROW()))</f>
        <v/>
      </c>
      <c r="B8" s="2">
        <f>IF(INDEX('Meetings'!$A:$A,ROW())="","",INDEX('Meetings'!$B:$B,ROW()))</f>
        <v/>
      </c>
      <c r="C8" s="2">
        <f>IF($A8="","",COUNTIF(INDEX('Attendance'!$E$2:$AR$1000,0,ROW()-1),"PRESENT"))</f>
        <v/>
      </c>
      <c r="D8" s="2">
        <f>IF($A8="","",COUNTIF(INDEX('Attendance'!$E$2:$AR$1000,0,ROW()-1),"ABSENT"))</f>
        <v/>
      </c>
      <c r="E8" s="11">
        <f>IF($A8="","",IFERROR(C8/(C8+D8),""))</f>
        <v/>
      </c>
      <c r="F8" s="2">
        <f>IF(INDEX('Meetings'!$E:$E,ROW())="","",INDEX('Meetings'!$E:$E,ROW()))</f>
        <v/>
      </c>
    </row>
    <row r="9">
      <c r="A9" s="8">
        <f>IF(INDEX('Meetings'!$A:$A,ROW())="","",INDEX('Meetings'!$A:$A,ROW()))</f>
        <v/>
      </c>
      <c r="B9" s="2">
        <f>IF(INDEX('Meetings'!$A:$A,ROW())="","",INDEX('Meetings'!$B:$B,ROW()))</f>
        <v/>
      </c>
      <c r="C9" s="2">
        <f>IF($A9="","",COUNTIF(INDEX('Attendance'!$E$2:$AR$1000,0,ROW()-1),"PRESENT"))</f>
        <v/>
      </c>
      <c r="D9" s="2">
        <f>IF($A9="","",COUNTIF(INDEX('Attendance'!$E$2:$AR$1000,0,ROW()-1),"ABSENT"))</f>
        <v/>
      </c>
      <c r="E9" s="11">
        <f>IF($A9="","",IFERROR(C9/(C9+D9),""))</f>
        <v/>
      </c>
      <c r="F9" s="2">
        <f>IF(INDEX('Meetings'!$E:$E,ROW())="","",INDEX('Meetings'!$E:$E,ROW()))</f>
        <v/>
      </c>
    </row>
    <row r="10">
      <c r="A10" s="8">
        <f>IF(INDEX('Meetings'!$A:$A,ROW())="","",INDEX('Meetings'!$A:$A,ROW()))</f>
        <v/>
      </c>
      <c r="B10" s="2">
        <f>IF(INDEX('Meetings'!$A:$A,ROW())="","",INDEX('Meetings'!$B:$B,ROW()))</f>
        <v/>
      </c>
      <c r="C10" s="2">
        <f>IF($A10="","",COUNTIF(INDEX('Attendance'!$E$2:$AR$1000,0,ROW()-1),"PRESENT"))</f>
        <v/>
      </c>
      <c r="D10" s="2">
        <f>IF($A10="","",COUNTIF(INDEX('Attendance'!$E$2:$AR$1000,0,ROW()-1),"ABSENT"))</f>
        <v/>
      </c>
      <c r="E10" s="11">
        <f>IF($A10="","",IFERROR(C10/(C10+D10),""))</f>
        <v/>
      </c>
      <c r="F10" s="2">
        <f>IF(INDEX('Meetings'!$E:$E,ROW())="","",INDEX('Meetings'!$E:$E,ROW()))</f>
        <v/>
      </c>
    </row>
    <row r="11">
      <c r="A11" s="8">
        <f>IF(INDEX('Meetings'!$A:$A,ROW())="","",INDEX('Meetings'!$A:$A,ROW()))</f>
        <v/>
      </c>
      <c r="B11" s="2">
        <f>IF(INDEX('Meetings'!$A:$A,ROW())="","",INDEX('Meetings'!$B:$B,ROW()))</f>
        <v/>
      </c>
      <c r="C11" s="2">
        <f>IF($A11="","",COUNTIF(INDEX('Attendance'!$E$2:$AR$1000,0,ROW()-1),"PRESENT"))</f>
        <v/>
      </c>
      <c r="D11" s="2">
        <f>IF($A11="","",COUNTIF(INDEX('Attendance'!$E$2:$AR$1000,0,ROW()-1),"ABSENT"))</f>
        <v/>
      </c>
      <c r="E11" s="11">
        <f>IF($A11="","",IFERROR(C11/(C11+D11),""))</f>
        <v/>
      </c>
      <c r="F11" s="2">
        <f>IF(INDEX('Meetings'!$E:$E,ROW())="","",INDEX('Meetings'!$E:$E,ROW()))</f>
        <v/>
      </c>
    </row>
    <row r="12">
      <c r="A12" s="8">
        <f>IF(INDEX('Meetings'!$A:$A,ROW())="","",INDEX('Meetings'!$A:$A,ROW()))</f>
        <v/>
      </c>
      <c r="B12" s="2">
        <f>IF(INDEX('Meetings'!$A:$A,ROW())="","",INDEX('Meetings'!$B:$B,ROW()))</f>
        <v/>
      </c>
      <c r="C12" s="2">
        <f>IF($A12="","",COUNTIF(INDEX('Attendance'!$E$2:$AR$1000,0,ROW()-1),"PRESENT"))</f>
        <v/>
      </c>
      <c r="D12" s="2">
        <f>IF($A12="","",COUNTIF(INDEX('Attendance'!$E$2:$AR$1000,0,ROW()-1),"ABSENT"))</f>
        <v/>
      </c>
      <c r="E12" s="11">
        <f>IF($A12="","",IFERROR(C12/(C12+D12),""))</f>
        <v/>
      </c>
      <c r="F12" s="2">
        <f>IF(INDEX('Meetings'!$E:$E,ROW())="","",INDEX('Meetings'!$E:$E,ROW()))</f>
        <v/>
      </c>
    </row>
    <row r="13">
      <c r="A13" s="8">
        <f>IF(INDEX('Meetings'!$A:$A,ROW())="","",INDEX('Meetings'!$A:$A,ROW()))</f>
        <v/>
      </c>
      <c r="B13" s="2">
        <f>IF(INDEX('Meetings'!$A:$A,ROW())="","",INDEX('Meetings'!$B:$B,ROW()))</f>
        <v/>
      </c>
      <c r="C13" s="2">
        <f>IF($A13="","",COUNTIF(INDEX('Attendance'!$E$2:$AR$1000,0,ROW()-1),"PRESENT"))</f>
        <v/>
      </c>
      <c r="D13" s="2">
        <f>IF($A13="","",COUNTIF(INDEX('Attendance'!$E$2:$AR$1000,0,ROW()-1),"ABSENT"))</f>
        <v/>
      </c>
      <c r="E13" s="11">
        <f>IF($A13="","",IFERROR(C13/(C13+D13),""))</f>
        <v/>
      </c>
      <c r="F13" s="2">
        <f>IF(INDEX('Meetings'!$E:$E,ROW())="","",INDEX('Meetings'!$E:$E,ROW()))</f>
        <v/>
      </c>
    </row>
    <row r="14">
      <c r="A14" s="8">
        <f>IF(INDEX('Meetings'!$A:$A,ROW())="","",INDEX('Meetings'!$A:$A,ROW()))</f>
        <v/>
      </c>
      <c r="B14" s="2">
        <f>IF(INDEX('Meetings'!$A:$A,ROW())="","",INDEX('Meetings'!$B:$B,ROW()))</f>
        <v/>
      </c>
      <c r="C14" s="2">
        <f>IF($A14="","",COUNTIF(INDEX('Attendance'!$E$2:$AR$1000,0,ROW()-1),"PRESENT"))</f>
        <v/>
      </c>
      <c r="D14" s="2">
        <f>IF($A14="","",COUNTIF(INDEX('Attendance'!$E$2:$AR$1000,0,ROW()-1),"ABSENT"))</f>
        <v/>
      </c>
      <c r="E14" s="11">
        <f>IF($A14="","",IFERROR(C14/(C14+D14),""))</f>
        <v/>
      </c>
      <c r="F14" s="2">
        <f>IF(INDEX('Meetings'!$E:$E,ROW())="","",INDEX('Meetings'!$E:$E,ROW()))</f>
        <v/>
      </c>
    </row>
    <row r="15">
      <c r="A15" s="8">
        <f>IF(INDEX('Meetings'!$A:$A,ROW())="","",INDEX('Meetings'!$A:$A,ROW()))</f>
        <v/>
      </c>
      <c r="B15" s="2">
        <f>IF(INDEX('Meetings'!$A:$A,ROW())="","",INDEX('Meetings'!$B:$B,ROW()))</f>
        <v/>
      </c>
      <c r="C15" s="2">
        <f>IF($A15="","",COUNTIF(INDEX('Attendance'!$E$2:$AR$1000,0,ROW()-1),"PRESENT"))</f>
        <v/>
      </c>
      <c r="D15" s="2">
        <f>IF($A15="","",COUNTIF(INDEX('Attendance'!$E$2:$AR$1000,0,ROW()-1),"ABSENT"))</f>
        <v/>
      </c>
      <c r="E15" s="11">
        <f>IF($A15="","",IFERROR(C15/(C15+D15),""))</f>
        <v/>
      </c>
      <c r="F15" s="2">
        <f>IF(INDEX('Meetings'!$E:$E,ROW())="","",INDEX('Meetings'!$E:$E,ROW()))</f>
        <v/>
      </c>
    </row>
    <row r="16">
      <c r="A16" s="8">
        <f>IF(INDEX('Meetings'!$A:$A,ROW())="","",INDEX('Meetings'!$A:$A,ROW()))</f>
        <v/>
      </c>
      <c r="B16" s="2">
        <f>IF(INDEX('Meetings'!$A:$A,ROW())="","",INDEX('Meetings'!$B:$B,ROW()))</f>
        <v/>
      </c>
      <c r="C16" s="2">
        <f>IF($A16="","",COUNTIF(INDEX('Attendance'!$E$2:$AR$1000,0,ROW()-1),"PRESENT"))</f>
        <v/>
      </c>
      <c r="D16" s="2">
        <f>IF($A16="","",COUNTIF(INDEX('Attendance'!$E$2:$AR$1000,0,ROW()-1),"ABSENT"))</f>
        <v/>
      </c>
      <c r="E16" s="11">
        <f>IF($A16="","",IFERROR(C16/(C16+D16),""))</f>
        <v/>
      </c>
      <c r="F16" s="2">
        <f>IF(INDEX('Meetings'!$E:$E,ROW())="","",INDEX('Meetings'!$E:$E,ROW()))</f>
        <v/>
      </c>
    </row>
    <row r="17">
      <c r="A17" s="8">
        <f>IF(INDEX('Meetings'!$A:$A,ROW())="","",INDEX('Meetings'!$A:$A,ROW()))</f>
        <v/>
      </c>
      <c r="B17" s="2">
        <f>IF(INDEX('Meetings'!$A:$A,ROW())="","",INDEX('Meetings'!$B:$B,ROW()))</f>
        <v/>
      </c>
      <c r="C17" s="2">
        <f>IF($A17="","",COUNTIF(INDEX('Attendance'!$E$2:$AR$1000,0,ROW()-1),"PRESENT"))</f>
        <v/>
      </c>
      <c r="D17" s="2">
        <f>IF($A17="","",COUNTIF(INDEX('Attendance'!$E$2:$AR$1000,0,ROW()-1),"ABSENT"))</f>
        <v/>
      </c>
      <c r="E17" s="11">
        <f>IF($A17="","",IFERROR(C17/(C17+D17),""))</f>
        <v/>
      </c>
      <c r="F17" s="2">
        <f>IF(INDEX('Meetings'!$E:$E,ROW())="","",INDEX('Meetings'!$E:$E,ROW()))</f>
        <v/>
      </c>
    </row>
    <row r="18">
      <c r="A18" s="8">
        <f>IF(INDEX('Meetings'!$A:$A,ROW())="","",INDEX('Meetings'!$A:$A,ROW()))</f>
        <v/>
      </c>
      <c r="B18" s="2">
        <f>IF(INDEX('Meetings'!$A:$A,ROW())="","",INDEX('Meetings'!$B:$B,ROW()))</f>
        <v/>
      </c>
      <c r="C18" s="2">
        <f>IF($A18="","",COUNTIF(INDEX('Attendance'!$E$2:$AR$1000,0,ROW()-1),"PRESENT"))</f>
        <v/>
      </c>
      <c r="D18" s="2">
        <f>IF($A18="","",COUNTIF(INDEX('Attendance'!$E$2:$AR$1000,0,ROW()-1),"ABSENT"))</f>
        <v/>
      </c>
      <c r="E18" s="11">
        <f>IF($A18="","",IFERROR(C18/(C18+D18),""))</f>
        <v/>
      </c>
      <c r="F18" s="2">
        <f>IF(INDEX('Meetings'!$E:$E,ROW())="","",INDEX('Meetings'!$E:$E,ROW()))</f>
        <v/>
      </c>
    </row>
    <row r="19">
      <c r="A19" s="8">
        <f>IF(INDEX('Meetings'!$A:$A,ROW())="","",INDEX('Meetings'!$A:$A,ROW()))</f>
        <v/>
      </c>
      <c r="B19" s="2">
        <f>IF(INDEX('Meetings'!$A:$A,ROW())="","",INDEX('Meetings'!$B:$B,ROW()))</f>
        <v/>
      </c>
      <c r="C19" s="2">
        <f>IF($A19="","",COUNTIF(INDEX('Attendance'!$E$2:$AR$1000,0,ROW()-1),"PRESENT"))</f>
        <v/>
      </c>
      <c r="D19" s="2">
        <f>IF($A19="","",COUNTIF(INDEX('Attendance'!$E$2:$AR$1000,0,ROW()-1),"ABSENT"))</f>
        <v/>
      </c>
      <c r="E19" s="11">
        <f>IF($A19="","",IFERROR(C19/(C19+D19),""))</f>
        <v/>
      </c>
      <c r="F19" s="2">
        <f>IF(INDEX('Meetings'!$E:$E,ROW())="","",INDEX('Meetings'!$E:$E,ROW()))</f>
        <v/>
      </c>
    </row>
    <row r="20">
      <c r="A20" s="8">
        <f>IF(INDEX('Meetings'!$A:$A,ROW())="","",INDEX('Meetings'!$A:$A,ROW()))</f>
        <v/>
      </c>
      <c r="B20" s="2">
        <f>IF(INDEX('Meetings'!$A:$A,ROW())="","",INDEX('Meetings'!$B:$B,ROW()))</f>
        <v/>
      </c>
      <c r="C20" s="2">
        <f>IF($A20="","",COUNTIF(INDEX('Attendance'!$E$2:$AR$1000,0,ROW()-1),"PRESENT"))</f>
        <v/>
      </c>
      <c r="D20" s="2">
        <f>IF($A20="","",COUNTIF(INDEX('Attendance'!$E$2:$AR$1000,0,ROW()-1),"ABSENT"))</f>
        <v/>
      </c>
      <c r="E20" s="11">
        <f>IF($A20="","",IFERROR(C20/(C20+D20),""))</f>
        <v/>
      </c>
      <c r="F20" s="2">
        <f>IF(INDEX('Meetings'!$E:$E,ROW())="","",INDEX('Meetings'!$E:$E,ROW()))</f>
        <v/>
      </c>
    </row>
    <row r="21">
      <c r="A21" s="8">
        <f>IF(INDEX('Meetings'!$A:$A,ROW())="","",INDEX('Meetings'!$A:$A,ROW()))</f>
        <v/>
      </c>
      <c r="B21" s="2">
        <f>IF(INDEX('Meetings'!$A:$A,ROW())="","",INDEX('Meetings'!$B:$B,ROW()))</f>
        <v/>
      </c>
      <c r="C21" s="2">
        <f>IF($A21="","",COUNTIF(INDEX('Attendance'!$E$2:$AR$1000,0,ROW()-1),"PRESENT"))</f>
        <v/>
      </c>
      <c r="D21" s="2">
        <f>IF($A21="","",COUNTIF(INDEX('Attendance'!$E$2:$AR$1000,0,ROW()-1),"ABSENT"))</f>
        <v/>
      </c>
      <c r="E21" s="11">
        <f>IF($A21="","",IFERROR(C21/(C21+D21),""))</f>
        <v/>
      </c>
      <c r="F21" s="2">
        <f>IF(INDEX('Meetings'!$E:$E,ROW())="","",INDEX('Meetings'!$E:$E,ROW()))</f>
        <v/>
      </c>
    </row>
    <row r="22">
      <c r="A22" s="8">
        <f>IF(INDEX('Meetings'!$A:$A,ROW())="","",INDEX('Meetings'!$A:$A,ROW()))</f>
        <v/>
      </c>
      <c r="B22" s="2">
        <f>IF(INDEX('Meetings'!$A:$A,ROW())="","",INDEX('Meetings'!$B:$B,ROW()))</f>
        <v/>
      </c>
      <c r="C22" s="2">
        <f>IF($A22="","",COUNTIF(INDEX('Attendance'!$E$2:$AR$1000,0,ROW()-1),"PRESENT"))</f>
        <v/>
      </c>
      <c r="D22" s="2">
        <f>IF($A22="","",COUNTIF(INDEX('Attendance'!$E$2:$AR$1000,0,ROW()-1),"ABSENT"))</f>
        <v/>
      </c>
      <c r="E22" s="11">
        <f>IF($A22="","",IFERROR(C22/(C22+D22),""))</f>
        <v/>
      </c>
      <c r="F22" s="2">
        <f>IF(INDEX('Meetings'!$E:$E,ROW())="","",INDEX('Meetings'!$E:$E,ROW()))</f>
        <v/>
      </c>
    </row>
    <row r="23">
      <c r="A23" s="8">
        <f>IF(INDEX('Meetings'!$A:$A,ROW())="","",INDEX('Meetings'!$A:$A,ROW()))</f>
        <v/>
      </c>
      <c r="B23" s="2">
        <f>IF(INDEX('Meetings'!$A:$A,ROW())="","",INDEX('Meetings'!$B:$B,ROW()))</f>
        <v/>
      </c>
      <c r="C23" s="2">
        <f>IF($A23="","",COUNTIF(INDEX('Attendance'!$E$2:$AR$1000,0,ROW()-1),"PRESENT"))</f>
        <v/>
      </c>
      <c r="D23" s="2">
        <f>IF($A23="","",COUNTIF(INDEX('Attendance'!$E$2:$AR$1000,0,ROW()-1),"ABSENT"))</f>
        <v/>
      </c>
      <c r="E23" s="11">
        <f>IF($A23="","",IFERROR(C23/(C23+D23),""))</f>
        <v/>
      </c>
      <c r="F23" s="2">
        <f>IF(INDEX('Meetings'!$E:$E,ROW())="","",INDEX('Meetings'!$E:$E,ROW()))</f>
        <v/>
      </c>
    </row>
    <row r="24">
      <c r="A24" s="8">
        <f>IF(INDEX('Meetings'!$A:$A,ROW())="","",INDEX('Meetings'!$A:$A,ROW()))</f>
        <v/>
      </c>
      <c r="B24" s="2">
        <f>IF(INDEX('Meetings'!$A:$A,ROW())="","",INDEX('Meetings'!$B:$B,ROW()))</f>
        <v/>
      </c>
      <c r="C24" s="2">
        <f>IF($A24="","",COUNTIF(INDEX('Attendance'!$E$2:$AR$1000,0,ROW()-1),"PRESENT"))</f>
        <v/>
      </c>
      <c r="D24" s="2">
        <f>IF($A24="","",COUNTIF(INDEX('Attendance'!$E$2:$AR$1000,0,ROW()-1),"ABSENT"))</f>
        <v/>
      </c>
      <c r="E24" s="11">
        <f>IF($A24="","",IFERROR(C24/(C24+D24),""))</f>
        <v/>
      </c>
      <c r="F24" s="2">
        <f>IF(INDEX('Meetings'!$E:$E,ROW())="","",INDEX('Meetings'!$E:$E,ROW()))</f>
        <v/>
      </c>
    </row>
    <row r="25">
      <c r="A25" s="8">
        <f>IF(INDEX('Meetings'!$A:$A,ROW())="","",INDEX('Meetings'!$A:$A,ROW()))</f>
        <v/>
      </c>
      <c r="B25" s="2">
        <f>IF(INDEX('Meetings'!$A:$A,ROW())="","",INDEX('Meetings'!$B:$B,ROW()))</f>
        <v/>
      </c>
      <c r="C25" s="2">
        <f>IF($A25="","",COUNTIF(INDEX('Attendance'!$E$2:$AR$1000,0,ROW()-1),"PRESENT"))</f>
        <v/>
      </c>
      <c r="D25" s="2">
        <f>IF($A25="","",COUNTIF(INDEX('Attendance'!$E$2:$AR$1000,0,ROW()-1),"ABSENT"))</f>
        <v/>
      </c>
      <c r="E25" s="11">
        <f>IF($A25="","",IFERROR(C25/(C25+D25),""))</f>
        <v/>
      </c>
      <c r="F25" s="2">
        <f>IF(INDEX('Meetings'!$E:$E,ROW())="","",INDEX('Meetings'!$E:$E,ROW()))</f>
        <v/>
      </c>
    </row>
    <row r="26">
      <c r="A26" s="8">
        <f>IF(INDEX('Meetings'!$A:$A,ROW())="","",INDEX('Meetings'!$A:$A,ROW()))</f>
        <v/>
      </c>
      <c r="B26" s="2">
        <f>IF(INDEX('Meetings'!$A:$A,ROW())="","",INDEX('Meetings'!$B:$B,ROW()))</f>
        <v/>
      </c>
      <c r="C26" s="2">
        <f>IF($A26="","",COUNTIF(INDEX('Attendance'!$E$2:$AR$1000,0,ROW()-1),"PRESENT"))</f>
        <v/>
      </c>
      <c r="D26" s="2">
        <f>IF($A26="","",COUNTIF(INDEX('Attendance'!$E$2:$AR$1000,0,ROW()-1),"ABSENT"))</f>
        <v/>
      </c>
      <c r="E26" s="11">
        <f>IF($A26="","",IFERROR(C26/(C26+D26),""))</f>
        <v/>
      </c>
      <c r="F26" s="2">
        <f>IF(INDEX('Meetings'!$E:$E,ROW())="","",INDEX('Meetings'!$E:$E,ROW()))</f>
        <v/>
      </c>
    </row>
    <row r="27">
      <c r="A27" s="8">
        <f>IF(INDEX('Meetings'!$A:$A,ROW())="","",INDEX('Meetings'!$A:$A,ROW()))</f>
        <v/>
      </c>
      <c r="B27" s="2">
        <f>IF(INDEX('Meetings'!$A:$A,ROW())="","",INDEX('Meetings'!$B:$B,ROW()))</f>
        <v/>
      </c>
      <c r="C27" s="2">
        <f>IF($A27="","",COUNTIF(INDEX('Attendance'!$E$2:$AR$1000,0,ROW()-1),"PRESENT"))</f>
        <v/>
      </c>
      <c r="D27" s="2">
        <f>IF($A27="","",COUNTIF(INDEX('Attendance'!$E$2:$AR$1000,0,ROW()-1),"ABSENT"))</f>
        <v/>
      </c>
      <c r="E27" s="11">
        <f>IF($A27="","",IFERROR(C27/(C27+D27),""))</f>
        <v/>
      </c>
      <c r="F27" s="2">
        <f>IF(INDEX('Meetings'!$E:$E,ROW())="","",INDEX('Meetings'!$E:$E,ROW()))</f>
        <v/>
      </c>
    </row>
    <row r="28">
      <c r="A28" s="8">
        <f>IF(INDEX('Meetings'!$A:$A,ROW())="","",INDEX('Meetings'!$A:$A,ROW()))</f>
        <v/>
      </c>
      <c r="B28" s="2">
        <f>IF(INDEX('Meetings'!$A:$A,ROW())="","",INDEX('Meetings'!$B:$B,ROW()))</f>
        <v/>
      </c>
      <c r="C28" s="2">
        <f>IF($A28="","",COUNTIF(INDEX('Attendance'!$E$2:$AR$1000,0,ROW()-1),"PRESENT"))</f>
        <v/>
      </c>
      <c r="D28" s="2">
        <f>IF($A28="","",COUNTIF(INDEX('Attendance'!$E$2:$AR$1000,0,ROW()-1),"ABSENT"))</f>
        <v/>
      </c>
      <c r="E28" s="11">
        <f>IF($A28="","",IFERROR(C28/(C28+D28),""))</f>
        <v/>
      </c>
      <c r="F28" s="2">
        <f>IF(INDEX('Meetings'!$E:$E,ROW())="","",INDEX('Meetings'!$E:$E,ROW()))</f>
        <v/>
      </c>
    </row>
    <row r="29">
      <c r="A29" s="8">
        <f>IF(INDEX('Meetings'!$A:$A,ROW())="","",INDEX('Meetings'!$A:$A,ROW()))</f>
        <v/>
      </c>
      <c r="B29" s="2">
        <f>IF(INDEX('Meetings'!$A:$A,ROW())="","",INDEX('Meetings'!$B:$B,ROW()))</f>
        <v/>
      </c>
      <c r="C29" s="2">
        <f>IF($A29="","",COUNTIF(INDEX('Attendance'!$E$2:$AR$1000,0,ROW()-1),"PRESENT"))</f>
        <v/>
      </c>
      <c r="D29" s="2">
        <f>IF($A29="","",COUNTIF(INDEX('Attendance'!$E$2:$AR$1000,0,ROW()-1),"ABSENT"))</f>
        <v/>
      </c>
      <c r="E29" s="11">
        <f>IF($A29="","",IFERROR(C29/(C29+D29),""))</f>
        <v/>
      </c>
      <c r="F29" s="2">
        <f>IF(INDEX('Meetings'!$E:$E,ROW())="","",INDEX('Meetings'!$E:$E,ROW()))</f>
        <v/>
      </c>
    </row>
    <row r="30">
      <c r="A30" s="8">
        <f>IF(INDEX('Meetings'!$A:$A,ROW())="","",INDEX('Meetings'!$A:$A,ROW()))</f>
        <v/>
      </c>
      <c r="B30" s="2">
        <f>IF(INDEX('Meetings'!$A:$A,ROW())="","",INDEX('Meetings'!$B:$B,ROW()))</f>
        <v/>
      </c>
      <c r="C30" s="2">
        <f>IF($A30="","",COUNTIF(INDEX('Attendance'!$E$2:$AR$1000,0,ROW()-1),"PRESENT"))</f>
        <v/>
      </c>
      <c r="D30" s="2">
        <f>IF($A30="","",COUNTIF(INDEX('Attendance'!$E$2:$AR$1000,0,ROW()-1),"ABSENT"))</f>
        <v/>
      </c>
      <c r="E30" s="11">
        <f>IF($A30="","",IFERROR(C30/(C30+D30),""))</f>
        <v/>
      </c>
      <c r="F30" s="2">
        <f>IF(INDEX('Meetings'!$E:$E,ROW())="","",INDEX('Meetings'!$E:$E,ROW()))</f>
        <v/>
      </c>
    </row>
    <row r="31">
      <c r="A31" s="8">
        <f>IF(INDEX('Meetings'!$A:$A,ROW())="","",INDEX('Meetings'!$A:$A,ROW()))</f>
        <v/>
      </c>
      <c r="B31" s="2">
        <f>IF(INDEX('Meetings'!$A:$A,ROW())="","",INDEX('Meetings'!$B:$B,ROW()))</f>
        <v/>
      </c>
      <c r="C31" s="2">
        <f>IF($A31="","",COUNTIF(INDEX('Attendance'!$E$2:$AR$1000,0,ROW()-1),"PRESENT"))</f>
        <v/>
      </c>
      <c r="D31" s="2">
        <f>IF($A31="","",COUNTIF(INDEX('Attendance'!$E$2:$AR$1000,0,ROW()-1),"ABSENT"))</f>
        <v/>
      </c>
      <c r="E31" s="11">
        <f>IF($A31="","",IFERROR(C31/(C31+D31),""))</f>
        <v/>
      </c>
      <c r="F31" s="2">
        <f>IF(INDEX('Meetings'!$E:$E,ROW())="","",INDEX('Meetings'!$E:$E,ROW()))</f>
        <v/>
      </c>
    </row>
    <row r="32">
      <c r="A32" s="8">
        <f>IF(INDEX('Meetings'!$A:$A,ROW())="","",INDEX('Meetings'!$A:$A,ROW()))</f>
        <v/>
      </c>
      <c r="B32" s="2">
        <f>IF(INDEX('Meetings'!$A:$A,ROW())="","",INDEX('Meetings'!$B:$B,ROW()))</f>
        <v/>
      </c>
      <c r="C32" s="2">
        <f>IF($A32="","",COUNTIF(INDEX('Attendance'!$E$2:$AR$1000,0,ROW()-1),"PRESENT"))</f>
        <v/>
      </c>
      <c r="D32" s="2">
        <f>IF($A32="","",COUNTIF(INDEX('Attendance'!$E$2:$AR$1000,0,ROW()-1),"ABSENT"))</f>
        <v/>
      </c>
      <c r="E32" s="11">
        <f>IF($A32="","",IFERROR(C32/(C32+D32),""))</f>
        <v/>
      </c>
      <c r="F32" s="2">
        <f>IF(INDEX('Meetings'!$E:$E,ROW())="","",INDEX('Meetings'!$E:$E,ROW()))</f>
        <v/>
      </c>
    </row>
    <row r="33">
      <c r="A33" s="8">
        <f>IF(INDEX('Meetings'!$A:$A,ROW())="","",INDEX('Meetings'!$A:$A,ROW()))</f>
        <v/>
      </c>
      <c r="B33" s="2">
        <f>IF(INDEX('Meetings'!$A:$A,ROW())="","",INDEX('Meetings'!$B:$B,ROW()))</f>
        <v/>
      </c>
      <c r="C33" s="2">
        <f>IF($A33="","",COUNTIF(INDEX('Attendance'!$E$2:$AR$1000,0,ROW()-1),"PRESENT"))</f>
        <v/>
      </c>
      <c r="D33" s="2">
        <f>IF($A33="","",COUNTIF(INDEX('Attendance'!$E$2:$AR$1000,0,ROW()-1),"ABSENT"))</f>
        <v/>
      </c>
      <c r="E33" s="11">
        <f>IF($A33="","",IFERROR(C33/(C33+D33),""))</f>
        <v/>
      </c>
      <c r="F33" s="2">
        <f>IF(INDEX('Meetings'!$E:$E,ROW())="","",INDEX('Meetings'!$E:$E,ROW()))</f>
        <v/>
      </c>
    </row>
    <row r="34">
      <c r="A34" s="8">
        <f>IF(INDEX('Meetings'!$A:$A,ROW())="","",INDEX('Meetings'!$A:$A,ROW()))</f>
        <v/>
      </c>
      <c r="B34" s="2">
        <f>IF(INDEX('Meetings'!$A:$A,ROW())="","",INDEX('Meetings'!$B:$B,ROW()))</f>
        <v/>
      </c>
      <c r="C34" s="2">
        <f>IF($A34="","",COUNTIF(INDEX('Attendance'!$E$2:$AR$1000,0,ROW()-1),"PRESENT"))</f>
        <v/>
      </c>
      <c r="D34" s="2">
        <f>IF($A34="","",COUNTIF(INDEX('Attendance'!$E$2:$AR$1000,0,ROW()-1),"ABSENT"))</f>
        <v/>
      </c>
      <c r="E34" s="11">
        <f>IF($A34="","",IFERROR(C34/(C34+D34),""))</f>
        <v/>
      </c>
      <c r="F34" s="2">
        <f>IF(INDEX('Meetings'!$E:$E,ROW())="","",INDEX('Meetings'!$E:$E,ROW()))</f>
        <v/>
      </c>
    </row>
    <row r="35">
      <c r="A35" s="8">
        <f>IF(INDEX('Meetings'!$A:$A,ROW())="","",INDEX('Meetings'!$A:$A,ROW()))</f>
        <v/>
      </c>
      <c r="B35" s="2">
        <f>IF(INDEX('Meetings'!$A:$A,ROW())="","",INDEX('Meetings'!$B:$B,ROW()))</f>
        <v/>
      </c>
      <c r="C35" s="2">
        <f>IF($A35="","",COUNTIF(INDEX('Attendance'!$E$2:$AR$1000,0,ROW()-1),"PRESENT"))</f>
        <v/>
      </c>
      <c r="D35" s="2">
        <f>IF($A35="","",COUNTIF(INDEX('Attendance'!$E$2:$AR$1000,0,ROW()-1),"ABSENT"))</f>
        <v/>
      </c>
      <c r="E35" s="11">
        <f>IF($A35="","",IFERROR(C35/(C35+D35),""))</f>
        <v/>
      </c>
      <c r="F35" s="2">
        <f>IF(INDEX('Meetings'!$E:$E,ROW())="","",INDEX('Meetings'!$E:$E,ROW()))</f>
        <v/>
      </c>
    </row>
    <row r="36">
      <c r="A36" s="8">
        <f>IF(INDEX('Meetings'!$A:$A,ROW())="","",INDEX('Meetings'!$A:$A,ROW()))</f>
        <v/>
      </c>
      <c r="B36" s="2">
        <f>IF(INDEX('Meetings'!$A:$A,ROW())="","",INDEX('Meetings'!$B:$B,ROW()))</f>
        <v/>
      </c>
      <c r="C36" s="2">
        <f>IF($A36="","",COUNTIF(INDEX('Attendance'!$E$2:$AR$1000,0,ROW()-1),"PRESENT"))</f>
        <v/>
      </c>
      <c r="D36" s="2">
        <f>IF($A36="","",COUNTIF(INDEX('Attendance'!$E$2:$AR$1000,0,ROW()-1),"ABSENT"))</f>
        <v/>
      </c>
      <c r="E36" s="11">
        <f>IF($A36="","",IFERROR(C36/(C36+D36),""))</f>
        <v/>
      </c>
      <c r="F36" s="2">
        <f>IF(INDEX('Meetings'!$E:$E,ROW())="","",INDEX('Meetings'!$E:$E,ROW()))</f>
        <v/>
      </c>
    </row>
    <row r="37">
      <c r="A37" s="8">
        <f>IF(INDEX('Meetings'!$A:$A,ROW())="","",INDEX('Meetings'!$A:$A,ROW()))</f>
        <v/>
      </c>
      <c r="B37" s="2">
        <f>IF(INDEX('Meetings'!$A:$A,ROW())="","",INDEX('Meetings'!$B:$B,ROW()))</f>
        <v/>
      </c>
      <c r="C37" s="2">
        <f>IF($A37="","",COUNTIF(INDEX('Attendance'!$E$2:$AR$1000,0,ROW()-1),"PRESENT"))</f>
        <v/>
      </c>
      <c r="D37" s="2">
        <f>IF($A37="","",COUNTIF(INDEX('Attendance'!$E$2:$AR$1000,0,ROW()-1),"ABSENT"))</f>
        <v/>
      </c>
      <c r="E37" s="11">
        <f>IF($A37="","",IFERROR(C37/(C37+D37),""))</f>
        <v/>
      </c>
      <c r="F37" s="2">
        <f>IF(INDEX('Meetings'!$E:$E,ROW())="","",INDEX('Meetings'!$E:$E,ROW()))</f>
        <v/>
      </c>
    </row>
    <row r="38">
      <c r="A38" s="8">
        <f>IF(INDEX('Meetings'!$A:$A,ROW())="","",INDEX('Meetings'!$A:$A,ROW()))</f>
        <v/>
      </c>
      <c r="B38" s="2">
        <f>IF(INDEX('Meetings'!$A:$A,ROW())="","",INDEX('Meetings'!$B:$B,ROW()))</f>
        <v/>
      </c>
      <c r="C38" s="2">
        <f>IF($A38="","",COUNTIF(INDEX('Attendance'!$E$2:$AR$1000,0,ROW()-1),"PRESENT"))</f>
        <v/>
      </c>
      <c r="D38" s="2">
        <f>IF($A38="","",COUNTIF(INDEX('Attendance'!$E$2:$AR$1000,0,ROW()-1),"ABSENT"))</f>
        <v/>
      </c>
      <c r="E38" s="11">
        <f>IF($A38="","",IFERROR(C38/(C38+D38),""))</f>
        <v/>
      </c>
      <c r="F38" s="2">
        <f>IF(INDEX('Meetings'!$E:$E,ROW())="","",INDEX('Meetings'!$E:$E,ROW()))</f>
        <v/>
      </c>
    </row>
    <row r="39">
      <c r="A39" s="8">
        <f>IF(INDEX('Meetings'!$A:$A,ROW())="","",INDEX('Meetings'!$A:$A,ROW()))</f>
        <v/>
      </c>
      <c r="B39" s="2">
        <f>IF(INDEX('Meetings'!$A:$A,ROW())="","",INDEX('Meetings'!$B:$B,ROW()))</f>
        <v/>
      </c>
      <c r="C39" s="2">
        <f>IF($A39="","",COUNTIF(INDEX('Attendance'!$E$2:$AR$1000,0,ROW()-1),"PRESENT"))</f>
        <v/>
      </c>
      <c r="D39" s="2">
        <f>IF($A39="","",COUNTIF(INDEX('Attendance'!$E$2:$AR$1000,0,ROW()-1),"ABSENT"))</f>
        <v/>
      </c>
      <c r="E39" s="11">
        <f>IF($A39="","",IFERROR(C39/(C39+D39),""))</f>
        <v/>
      </c>
      <c r="F39" s="2">
        <f>IF(INDEX('Meetings'!$E:$E,ROW())="","",INDEX('Meetings'!$E:$E,ROW()))</f>
        <v/>
      </c>
    </row>
    <row r="40">
      <c r="A40" s="8">
        <f>IF(INDEX('Meetings'!$A:$A,ROW())="","",INDEX('Meetings'!$A:$A,ROW()))</f>
        <v/>
      </c>
      <c r="B40" s="2">
        <f>IF(INDEX('Meetings'!$A:$A,ROW())="","",INDEX('Meetings'!$B:$B,ROW()))</f>
        <v/>
      </c>
      <c r="C40" s="2">
        <f>IF($A40="","",COUNTIF(INDEX('Attendance'!$E$2:$AR$1000,0,ROW()-1),"PRESENT"))</f>
        <v/>
      </c>
      <c r="D40" s="2">
        <f>IF($A40="","",COUNTIF(INDEX('Attendance'!$E$2:$AR$1000,0,ROW()-1),"ABSENT"))</f>
        <v/>
      </c>
      <c r="E40" s="11">
        <f>IF($A40="","",IFERROR(C40/(C40+D40),""))</f>
        <v/>
      </c>
      <c r="F40" s="2">
        <f>IF(INDEX('Meetings'!$E:$E,ROW())="","",INDEX('Meetings'!$E:$E,ROW()))</f>
        <v/>
      </c>
    </row>
    <row r="41">
      <c r="A41" s="8">
        <f>IF(INDEX('Meetings'!$A:$A,ROW())="","",INDEX('Meetings'!$A:$A,ROW()))</f>
        <v/>
      </c>
      <c r="B41" s="2">
        <f>IF(INDEX('Meetings'!$A:$A,ROW())="","",INDEX('Meetings'!$B:$B,ROW()))</f>
        <v/>
      </c>
      <c r="C41" s="2">
        <f>IF($A41="","",COUNTIF(INDEX('Attendance'!$E$2:$AR$1000,0,ROW()-1),"PRESENT"))</f>
        <v/>
      </c>
      <c r="D41" s="2">
        <f>IF($A41="","",COUNTIF(INDEX('Attendance'!$E$2:$AR$1000,0,ROW()-1),"ABSENT"))</f>
        <v/>
      </c>
      <c r="E41" s="11">
        <f>IF($A41="","",IFERROR(C41/(C41+D41),""))</f>
        <v/>
      </c>
      <c r="F41" s="2">
        <f>IF(INDEX('Meetings'!$E:$E,ROW())="","",INDEX('Meetings'!$E:$E,ROW()))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3" customWidth="1" min="4" max="4"/>
    <col width="46" customWidth="1" min="5" max="5"/>
  </cols>
  <sheetData>
    <row r="1" ht="22" customHeight="1">
      <c r="A1" s="6" t="inlineStr">
        <is>
          <t>Timestamp</t>
        </is>
      </c>
      <c r="B1" s="6" t="inlineStr">
        <is>
          <t>Email</t>
        </is>
      </c>
      <c r="C1" s="6" t="inlineStr">
        <is>
          <t>Meeting</t>
        </is>
      </c>
      <c r="D1" s="6" t="inlineStr">
        <is>
          <t>Result</t>
        </is>
      </c>
      <c r="E1" s="6" t="inlineStr">
        <is>
          <t>Reason</t>
        </is>
      </c>
    </row>
  </sheetData>
  <conditionalFormatting sqref="D2:D5000">
    <cfRule type="expression" priority="1" dxfId="2">
      <formula>D2="ACCEPTED"</formula>
    </cfRule>
    <cfRule type="expression" priority="2" dxfId="3">
      <formula>D2="REJECTED"</formula>
    </cfRule>
    <cfRule type="expression" priority="3" dxfId="0">
      <formula>D2="DUPLICATE"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3" customWidth="1" min="3" max="3"/>
    <col width="13" customWidth="1" min="4" max="4"/>
    <col width="46" customWidth="1" min="5" max="5"/>
    <col width="28" customWidth="1" min="6" max="6"/>
    <col width="11" customWidth="1" min="7" max="7"/>
  </cols>
  <sheetData>
    <row r="1" ht="22" customHeight="1">
      <c r="A1" s="6" t="inlineStr">
        <is>
          <t>Timestamp</t>
        </is>
      </c>
      <c r="B1" s="6" t="inlineStr">
        <is>
          <t>Email</t>
        </is>
      </c>
      <c r="C1" s="6" t="inlineStr">
        <is>
          <t>Student ID</t>
        </is>
      </c>
      <c r="D1" s="6" t="inlineStr">
        <is>
          <t>Result</t>
        </is>
      </c>
      <c r="E1" s="6" t="inlineStr">
        <is>
          <t>Details</t>
        </is>
      </c>
      <c r="F1" s="6" t="inlineStr">
        <is>
          <t>Name</t>
        </is>
      </c>
      <c r="G1" s="6" t="inlineStr">
        <is>
          <t>Class</t>
        </is>
      </c>
    </row>
  </sheetData>
  <conditionalFormatting sqref="D2:D1000">
    <cfRule type="expression" priority="1" dxfId="2">
      <formula>D2="ADDED"</formula>
    </cfRule>
    <cfRule type="expression" priority="2" dxfId="2">
      <formula>D2="UPDATED"</formula>
    </cfRule>
    <cfRule type="expression" priority="3" dxfId="1">
      <formula>D2="REVIEW"</formula>
    </cfRule>
    <cfRule type="expression" priority="4" dxfId="3">
      <formula>D2="REJECTED"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n"/>
      <c r="C1" s="2" t="n"/>
      <c r="D1" s="2" t="n"/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  <c r="O1" s="2" t="n">
        <v>11</v>
      </c>
      <c r="P1" s="2" t="n">
        <v>12</v>
      </c>
      <c r="Q1" s="2" t="n">
        <v>13</v>
      </c>
      <c r="R1" s="2" t="n">
        <v>14</v>
      </c>
      <c r="S1" s="2" t="n">
        <v>15</v>
      </c>
      <c r="T1" s="2" t="n">
        <v>16</v>
      </c>
      <c r="U1" s="2" t="n">
        <v>17</v>
      </c>
      <c r="V1" s="2" t="n">
        <v>18</v>
      </c>
      <c r="W1" s="2" t="n">
        <v>19</v>
      </c>
      <c r="X1" s="2" t="n">
        <v>20</v>
      </c>
      <c r="Y1" s="2" t="n">
        <v>21</v>
      </c>
      <c r="Z1" s="2" t="n">
        <v>22</v>
      </c>
      <c r="AA1" s="2" t="n">
        <v>23</v>
      </c>
      <c r="AB1" s="2" t="n">
        <v>24</v>
      </c>
      <c r="AC1" s="2" t="n">
        <v>25</v>
      </c>
      <c r="AD1" s="2" t="n">
        <v>26</v>
      </c>
      <c r="AE1" s="2" t="n">
        <v>27</v>
      </c>
      <c r="AF1" s="2" t="n">
        <v>28</v>
      </c>
      <c r="AG1" s="2" t="n">
        <v>29</v>
      </c>
      <c r="AH1" s="2" t="n">
        <v>30</v>
      </c>
      <c r="AI1" s="2" t="n">
        <v>31</v>
      </c>
      <c r="AJ1" s="2" t="n">
        <v>32</v>
      </c>
      <c r="AK1" s="2" t="n">
        <v>33</v>
      </c>
      <c r="AL1" s="2" t="n">
        <v>34</v>
      </c>
      <c r="AM1" s="2" t="n">
        <v>35</v>
      </c>
      <c r="AN1" s="2" t="n">
        <v>36</v>
      </c>
      <c r="AO1" s="2" t="n">
        <v>37</v>
      </c>
      <c r="AP1" s="2" t="n">
        <v>38</v>
      </c>
      <c r="AQ1" s="2" t="n">
        <v>39</v>
      </c>
      <c r="AR1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2026-10-30T08:46:04Z</dcterms:created>
  <dcterms:modified xmlns:dcterms="http://purl.org/dc/terms/" xmlns:xsi="http://www.w3.org/2001/XMLSchema-instance" xsi:type="dcterms:W3CDTF">2026-10-30T08:46:06Z</dcterms:modified>
</cp:coreProperties>
</file>